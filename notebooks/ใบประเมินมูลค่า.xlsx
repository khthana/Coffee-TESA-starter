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erry\Desktop\Code\coffee-tesa\training\day1\"/>
    </mc:Choice>
  </mc:AlternateContent>
  <xr:revisionPtr revIDLastSave="0" documentId="13_ncr:1_{984556B8-FB4A-4ACE-9226-DE90B07A849C}" xr6:coauthVersionLast="47" xr6:coauthVersionMax="47" xr10:uidLastSave="{00000000-0000-0000-0000-000000000000}"/>
  <bookViews>
    <workbookView xWindow="-108" yWindow="-108" windowWidth="23256" windowHeight="12456" xr2:uid="{00000000-000D-0000-FFFF-FFFF00000000}"/>
  </bookViews>
  <sheets>
    <sheet name="ประเมินล็อต" sheetId="1" r:id="rId1"/>
    <sheet name="วางแผนขาย" sheetId="2" r:id="rId2"/>
    <sheet name="สูตร"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2" l="1"/>
  <c r="I44" i="2" s="1"/>
  <c r="L44" i="2" s="1"/>
  <c r="H43" i="2"/>
  <c r="I43" i="2" s="1"/>
  <c r="L43" i="2" s="1"/>
  <c r="H42" i="2"/>
  <c r="I42" i="2" s="1"/>
  <c r="L42" i="2" s="1"/>
  <c r="H41" i="2"/>
  <c r="I41" i="2" s="1"/>
  <c r="L41" i="2" s="1"/>
  <c r="H40" i="2"/>
  <c r="I40" i="2" s="1"/>
  <c r="L40" i="2" s="1"/>
  <c r="H39" i="2"/>
  <c r="I39" i="2" s="1"/>
  <c r="L39" i="2" s="1"/>
  <c r="H38" i="2"/>
  <c r="I38" i="2" s="1"/>
  <c r="L38" i="2" s="1"/>
  <c r="H37" i="2"/>
  <c r="I37" i="2" s="1"/>
  <c r="L37" i="2" s="1"/>
  <c r="H36" i="2"/>
  <c r="I36" i="2" s="1"/>
  <c r="L36" i="2" s="1"/>
  <c r="H35" i="2"/>
  <c r="I35" i="2" s="1"/>
  <c r="L35" i="2" s="1"/>
  <c r="H34" i="2"/>
  <c r="I34" i="2" s="1"/>
  <c r="L34" i="2" s="1"/>
  <c r="H33" i="2"/>
  <c r="I33" i="2" s="1"/>
  <c r="L33" i="2" s="1"/>
  <c r="H32" i="2"/>
  <c r="I32" i="2" s="1"/>
  <c r="L32" i="2" s="1"/>
  <c r="H31" i="2"/>
  <c r="I31" i="2" s="1"/>
  <c r="L31" i="2" s="1"/>
  <c r="H30" i="2"/>
  <c r="I30" i="2" s="1"/>
  <c r="L30" i="2" s="1"/>
  <c r="H29" i="2"/>
  <c r="I29" i="2" s="1"/>
  <c r="L29" i="2" s="1"/>
  <c r="H28" i="2"/>
  <c r="I28" i="2" s="1"/>
  <c r="L28" i="2" s="1"/>
  <c r="H27" i="2"/>
  <c r="I27" i="2" s="1"/>
  <c r="L27" i="2" s="1"/>
  <c r="H26" i="2"/>
  <c r="I26" i="2" s="1"/>
  <c r="L26" i="2" s="1"/>
  <c r="H25" i="2"/>
  <c r="I25" i="2" s="1"/>
  <c r="L25" i="2" s="1"/>
  <c r="H24" i="2"/>
  <c r="I24" i="2" s="1"/>
  <c r="L24" i="2" s="1"/>
  <c r="H23" i="2"/>
  <c r="I23" i="2" s="1"/>
  <c r="L23" i="2" s="1"/>
  <c r="H22" i="2"/>
  <c r="I22" i="2" s="1"/>
  <c r="L22" i="2" s="1"/>
  <c r="H21" i="2"/>
  <c r="I21" i="2" s="1"/>
  <c r="L21" i="2" s="1"/>
  <c r="H20" i="2"/>
  <c r="I20" i="2" s="1"/>
  <c r="L20" i="2" s="1"/>
  <c r="H19" i="2"/>
  <c r="I19" i="2" s="1"/>
  <c r="L19" i="2" s="1"/>
  <c r="H18" i="2"/>
  <c r="I18" i="2" s="1"/>
  <c r="L18" i="2" s="1"/>
  <c r="H17" i="2"/>
  <c r="I17" i="2" s="1"/>
  <c r="L17" i="2" s="1"/>
  <c r="H16" i="2"/>
  <c r="I16" i="2" s="1"/>
  <c r="L16" i="2" s="1"/>
  <c r="H15" i="2"/>
  <c r="I15" i="2" s="1"/>
  <c r="L15" i="2" s="1"/>
  <c r="H14" i="2"/>
  <c r="I14" i="2" s="1"/>
  <c r="L14" i="2" s="1"/>
  <c r="H13" i="2"/>
  <c r="I13" i="2" s="1"/>
  <c r="L13" i="2" s="1"/>
  <c r="H12" i="2"/>
  <c r="I12" i="2" s="1"/>
  <c r="L12" i="2" s="1"/>
  <c r="H11" i="2"/>
  <c r="I11" i="2" s="1"/>
  <c r="L11" i="2" s="1"/>
  <c r="H10" i="2"/>
  <c r="I10" i="2" s="1"/>
  <c r="L10" i="2" s="1"/>
  <c r="H9" i="2"/>
  <c r="I9" i="2" s="1"/>
  <c r="L9" i="2" s="1"/>
  <c r="H8" i="2"/>
  <c r="I8" i="2" s="1"/>
  <c r="L8" i="2" s="1"/>
  <c r="H7" i="2"/>
  <c r="I7" i="2" s="1"/>
  <c r="L7" i="2" s="1"/>
  <c r="H6" i="2"/>
  <c r="I6" i="2" s="1"/>
  <c r="L6" i="2" s="1"/>
  <c r="K12" i="1"/>
  <c r="J12" i="1"/>
  <c r="I12" i="1"/>
  <c r="H12" i="1"/>
  <c r="G12" i="1"/>
  <c r="F12" i="1"/>
  <c r="K11" i="1"/>
  <c r="J11" i="1"/>
  <c r="I11" i="1"/>
  <c r="H11" i="1"/>
  <c r="G11" i="1"/>
  <c r="F11" i="1"/>
  <c r="K10" i="1"/>
  <c r="J10" i="1"/>
  <c r="I10" i="1"/>
  <c r="H10" i="1"/>
  <c r="G10" i="1"/>
  <c r="F10" i="1"/>
  <c r="K9" i="1"/>
  <c r="J9" i="1"/>
  <c r="I9" i="1"/>
  <c r="H9" i="1"/>
  <c r="G9" i="1"/>
  <c r="F9" i="1"/>
  <c r="K8" i="1"/>
  <c r="J8" i="1"/>
  <c r="I8" i="1"/>
  <c r="H8" i="1"/>
  <c r="G8" i="1"/>
  <c r="F8" i="1"/>
  <c r="K7" i="1"/>
  <c r="J7" i="1"/>
  <c r="I7" i="1"/>
  <c r="H7" i="1"/>
  <c r="G7" i="1"/>
  <c r="F7" i="1"/>
  <c r="K6" i="1"/>
  <c r="J6" i="1"/>
  <c r="I6" i="1"/>
  <c r="H6" i="1"/>
  <c r="G6" i="1"/>
  <c r="F6" i="1"/>
  <c r="J5" i="1"/>
  <c r="I5" i="1"/>
  <c r="G5" i="1"/>
  <c r="H5" i="1" s="1"/>
  <c r="K5" i="1" s="1"/>
  <c r="F5" i="1"/>
  <c r="M12" i="1" l="1"/>
  <c r="L12" i="1"/>
  <c r="M11" i="1"/>
  <c r="L11" i="1"/>
  <c r="M10" i="1"/>
  <c r="L10" i="1"/>
  <c r="M9" i="1"/>
  <c r="L9" i="1"/>
  <c r="M8" i="1"/>
  <c r="L8" i="1"/>
  <c r="M7" i="1"/>
  <c r="L7" i="1"/>
  <c r="M6" i="1"/>
  <c r="L6" i="1"/>
  <c r="M5" i="1"/>
  <c r="L5" i="1"/>
  <c r="H5" i="2"/>
  <c r="I5" i="2" s="1"/>
  <c r="L5" i="2" s="1"/>
  <c r="L46" i="2" s="1"/>
  <c r="M13" i="1" l="1"/>
  <c r="L47"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ทีมงาน</author>
  </authors>
  <commentList>
    <comment ref="K5" authorId="0" shapeId="0" xr:uid="{00000000-0006-0000-0000-000001000000}">
      <text>
        <r>
          <rPr>
            <sz val="11"/>
            <color theme="1"/>
            <rFont val="Calibri"/>
            <family val="2"/>
            <scheme val="minor"/>
          </rPr>
          <t>ตัวอย่าง: 120 × 1.0214 × 0.9771 × 1.00 = 119.75 บาท/กก.</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ทีมงาน</author>
  </authors>
  <commentList>
    <comment ref="L47" authorId="0" shapeId="0" xr:uid="{00000000-0006-0000-0100-000001000000}">
      <text>
        <r>
          <rPr>
            <sz val="11"/>
            <color theme="1"/>
            <rFont val="Calibri"/>
            <family val="2"/>
            <scheme val="minor"/>
          </rPr>
          <t>รายได้ ÷ มูลค่ารวมของล็อต (ยังไม่รวมส่วนที่ระบบขายให้ 0.8 × มูลค่าจริงตอนปิดตลาด) ใช้ TV ที่ทีมประเมินเอง ไม่ใช่ค่าจริง</t>
        </r>
      </text>
    </comment>
  </commentList>
</comments>
</file>

<file path=xl/sharedStrings.xml><?xml version="1.0" encoding="utf-8"?>
<sst xmlns="http://schemas.openxmlformats.org/spreadsheetml/2006/main" count="70" uniqueCount="64">
  <si>
    <t>ประเมินมูลค่าล็อตของทีม</t>
  </si>
  <si>
    <t>กรอกเฉพาะช่องสีเหลือง (ผลวัดตัวอย่างจากหน้าเว็บ) ช่องอื่นคำนวณเอง · แถว 5 เป็นตัวอย่าง เขียนทับได้</t>
  </si>
  <si>
    <t>คอลัมน์ K = มูลค่าที่ใส่ในช่อง "ส่งผลประเมินมูลค่า" · คอลัมน์ L = ราคาต่ำสุดที่ไม่ควรขายต่ำกว่า</t>
  </si>
  <si>
    <t>ล็อต</t>
  </si>
  <si>
    <t>ความชื้น (%)</t>
  </si>
  <si>
    <t>เมล็ดเสีย (%)</t>
  </si>
  <si>
    <t>ขนาดเมล็ด</t>
  </si>
  <si>
    <t>จำนวน (กระสอบ)</t>
  </si>
  <si>
    <t>เกรด</t>
  </si>
  <si>
    <t>ตัวคูณขั้น</t>
  </si>
  <si>
    <t>G</t>
  </si>
  <si>
    <t>M</t>
  </si>
  <si>
    <t>S</t>
  </si>
  <si>
    <t>มูลค่า TV (บาท/กก.)</t>
  </si>
  <si>
    <t>ราคาต่ำสุด 0.8×TV</t>
  </si>
  <si>
    <t>มูลค่ารวม (บาท)</t>
  </si>
  <si>
    <t>LOT-T05-1</t>
  </si>
  <si>
    <t>รวม</t>
  </si>
  <si>
    <t>ข้อควรระวัง</t>
  </si>
  <si>
    <t>• ผลวัดมาจากตัวอย่าง 350 กรัม — ช่วง 2 และ 3 อาจคลาดจากของจริง ล็อตที่เมล็ดเสียใกล้เส้นเกรด (1, 3, 5, 7, 15%) อาจจริงๆ อยู่อีกเกรด</t>
  </si>
  <si>
    <t>• ช่วง 1 (17 พ.ย.) ผลวัดตรงกับของจริง จึงประเมินได้แม่นเต็มที่</t>
  </si>
  <si>
    <t>• หนึ่งกระสอบ = 60 กก. · ขายไม่หมดตอนปิดตลาด ระบบขายให้ที่ 0.8 × มูลค่าจริง</t>
  </si>
  <si>
    <t>วางแผนข้อเสนอขายแต่ละรอบ</t>
  </si>
  <si>
    <t>กรอกช่องสีเหลือง · ราคาเสนอ = markup × TV ของล็อต · markup ต่ำกว่า 0.80 ได้น้อยกว่าปล่อยให้ระบบขายให้ตอนปิดตลาด</t>
  </si>
  <si>
    <t>ผู้ซื้อเลือกข้อเสนอที่ราคาเทียบมูลค่าจริงถูกที่สุดก่อน และไม่รับข้อเสนอที่แพงเกินเพดานของตัวเอง (เพดานไม่เปิดเผย ต้องเดาจากผลรอบก่อนๆ)</t>
  </si>
  <si>
    <t>รอบ</t>
  </si>
  <si>
    <t>คำขอซื้อ</t>
  </si>
  <si>
    <t>ผู้ซื้อ</t>
  </si>
  <si>
    <t>ประเภท</t>
  </si>
  <si>
    <t>markup</t>
  </si>
  <si>
    <t>TV ล็อต</t>
  </si>
  <si>
    <t>ราคาเสนอ (บาท/กก.)</t>
  </si>
  <si>
    <t>ผล</t>
  </si>
  <si>
    <t>ขายได้ (กระสอบ)</t>
  </si>
  <si>
    <t>รายได้ (บาท)</t>
  </si>
  <si>
    <t>R1</t>
  </si>
  <si>
    <t>R1-03</t>
  </si>
  <si>
    <t>ชุมพรคั่วบด</t>
  </si>
  <si>
    <t>COMMERCIAL</t>
  </si>
  <si>
    <t>ขายได้ทั้งหมด</t>
  </si>
  <si>
    <t>PR โดยประมาณ</t>
  </si>
  <si>
    <t>สูตรมูลค่าจริง (TV) ที่ตลาดเปิดเผย</t>
  </si>
  <si>
    <t>TV (บาท/กก.) = P0 × G × M × S · ตัวเลขมาจากกล่อง "สูตรมูลค่า" ในหน้าเว็บซื้อขาย (หรือ GET /v1/calendar → rules)</t>
  </si>
  <si>
    <t>P0 ราคาฐาน (บาท/กก.)</t>
  </si>
  <si>
    <t>ความชื้นอ้างอิง (%)</t>
  </si>
  <si>
    <t>หักต่อความชื้นที่เกิน 1 จุด</t>
  </si>
  <si>
    <t>ความชื้นสูงสุดก่อนโดนหักหนัก (%)</t>
  </si>
  <si>
    <t>ตัวคูณเมื่อชื้นเกินเพดาน</t>
  </si>
  <si>
    <t>ขายไม่ออก ระบบขายให้ที่ (× TV)</t>
  </si>
  <si>
    <t>เมล็ดเสียไม่เกิน (%)</t>
  </si>
  <si>
    <t>PREMIUM</t>
  </si>
  <si>
    <t>G = (1 − เมล็ดเสีย/100) × ตัวคูณขั้น</t>
  </si>
  <si>
    <t>GRADE_1</t>
  </si>
  <si>
    <t>M = 1 ถ้าชื้นไม่เกิน 12.5%</t>
  </si>
  <si>
    <t>GRADE_2</t>
  </si>
  <si>
    <t>M = (1 − ชื้น/100) ÷ (1 − 12.5/100) − 0.02 × (ชื้น − 12.5) ถ้าชื้นไม่เกิน 15%</t>
  </si>
  <si>
    <t>GRADE_3</t>
  </si>
  <si>
    <t>M = 0.6 ถ้าชื้นเกิน 15%</t>
  </si>
  <si>
    <t>BELOW_STANDARD</t>
  </si>
  <si>
    <t>S จากตาราง (เล็กกว่า 12 ใช้ค่าของ 12, ใหญ่กว่า 18 ใช้ค่าของ 18)</t>
  </si>
  <si>
    <t>REJECT</t>
  </si>
  <si>
    <t>ตัวเลขสีน้ำเงิน = ค่าจากตลาด ถ้าตลาดประกาศค่าใหม่ แก้ที่นี่ที่เดียว</t>
  </si>
  <si>
    <t>ขนาดเมล็ด (ตะแกรง)</t>
  </si>
  <si>
    <t>ตัวคูณ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</si>
</sst>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9" x14ac:knownFonts="1">
    <font>
      <sz val="11"/>
      <color theme="1"/>
      <name val="Calibri"/>
      <family val="2"/>
      <scheme val="minor"/>
    </font>
    <font>
      <b/>
      <sz val="14"/>
      <color rgb="FF000000"/>
      <name val="Tahoma"/>
    </font>
    <font>
      <sz val="11"/>
      <color rgb="FF5A4A3F"/>
      <name val="Tahoma"/>
    </font>
    <font>
      <sz val="11"/>
      <name val="Tahoma"/>
    </font>
    <font>
      <sz val="11"/>
      <color rgb="FF0000FF"/>
      <name val="Tahoma"/>
    </font>
    <font>
      <b/>
      <sz val="11"/>
      <color rgb="FFFFFFFF"/>
      <name val="Tahoma"/>
    </font>
    <font>
      <sz val="11"/>
      <color rgb="FF000000"/>
      <name val="Tahoma"/>
    </font>
    <font>
      <b/>
      <sz val="11"/>
      <name val="Tahoma"/>
    </font>
    <font>
      <b/>
      <sz val="11"/>
      <color rgb="FF000000"/>
      <name val="Tahoma"/>
    </font>
  </fonts>
  <fills count="4">
    <fill>
      <patternFill patternType="none"/>
    </fill>
    <fill>
      <patternFill patternType="gray125"/>
    </fill>
    <fill>
      <patternFill patternType="solid">
        <fgColor rgb="FF3A2A20"/>
      </patternFill>
    </fill>
    <fill>
      <patternFill patternType="solid">
        <fgColor rgb="FFFFF2B3"/>
      </patternFill>
    </fill>
  </fills>
  <borders count="2">
    <border>
      <left/>
      <right/>
      <top/>
      <bottom/>
      <diagonal/>
    </border>
    <border>
      <left style="thin">
        <color rgb="FFD9CFC2"/>
      </left>
      <right style="thin">
        <color rgb="FFD9CFC2"/>
      </right>
      <top style="thin">
        <color rgb="FFD9CFC2"/>
      </top>
      <bottom style="thin">
        <color rgb="FFD9CFC2"/>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5" fillId="2" borderId="1" xfId="0" applyFont="1" applyFill="1" applyBorder="1" applyAlignment="1">
      <alignment horizontal="center" vertical="center" wrapText="1"/>
    </xf>
    <xf numFmtId="0" fontId="4" fillId="3" borderId="1" xfId="0" applyFont="1" applyFill="1" applyBorder="1"/>
    <xf numFmtId="0" fontId="3" fillId="0" borderId="1" xfId="0" applyFont="1" applyBorder="1"/>
    <xf numFmtId="2" fontId="3" fillId="0" borderId="1" xfId="0" applyNumberFormat="1" applyFont="1" applyBorder="1"/>
    <xf numFmtId="164" fontId="3" fillId="0" borderId="1" xfId="0" applyNumberFormat="1" applyFont="1" applyBorder="1"/>
    <xf numFmtId="4" fontId="7" fillId="0" borderId="1" xfId="0" applyNumberFormat="1" applyFont="1" applyBorder="1"/>
    <xf numFmtId="4" fontId="3" fillId="0" borderId="1" xfId="0" applyNumberFormat="1" applyFont="1" applyBorder="1"/>
    <xf numFmtId="3" fontId="3" fillId="0" borderId="1" xfId="0" applyNumberFormat="1" applyFont="1" applyBorder="1"/>
    <xf numFmtId="0" fontId="7" fillId="0" borderId="0" xfId="0" applyFont="1"/>
    <xf numFmtId="3" fontId="7" fillId="0" borderId="0" xfId="0" applyNumberFormat="1" applyFont="1"/>
    <xf numFmtId="0" fontId="8" fillId="0" borderId="0" xfId="0" applyFont="1"/>
    <xf numFmtId="2" fontId="4" fillId="3" borderId="1" xfId="0" applyNumberFormat="1" applyFont="1" applyFill="1" applyBorder="1"/>
    <xf numFmtId="165" fontId="7" fillId="0" borderId="1" xfId="0" applyNumberFormat="1" applyFont="1" applyBorder="1"/>
    <xf numFmtId="166" fontId="7" fillId="0" borderId="0" xfId="0" applyNumberFormat="1" applyFont="1"/>
    <xf numFmtId="0" fontId="3" fillId="0" borderId="0" xfId="0" applyFont="1"/>
    <xf numFmtId="0" fontId="4" fillId="0" borderId="1" xfId="0" applyFont="1" applyBorder="1"/>
    <xf numFmtId="0" fontId="6"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workbookViewId="0">
      <pane xSplit="1" ySplit="4" topLeftCell="B5" activePane="bottomRight" state="frozen"/>
      <selection pane="topRight"/>
      <selection pane="bottomLeft"/>
      <selection pane="bottomRight"/>
    </sheetView>
  </sheetViews>
  <sheetFormatPr defaultRowHeight="14.4" x14ac:dyDescent="0.3"/>
  <cols>
    <col min="1" max="1" width="14" customWidth="1"/>
    <col min="2" max="3" width="12" customWidth="1"/>
    <col min="4" max="4" width="11" customWidth="1"/>
    <col min="5" max="5" width="12" customWidth="1"/>
    <col min="6" max="6" width="18" customWidth="1"/>
    <col min="7" max="7" width="10" customWidth="1"/>
    <col min="8" max="10" width="9" customWidth="1"/>
    <col min="11" max="12" width="14" customWidth="1"/>
    <col min="13" max="13" width="16" customWidth="1"/>
  </cols>
  <sheetData>
    <row r="1" spans="1:13" ht="17.399999999999999" x14ac:dyDescent="0.3">
      <c r="A1" s="1" t="s">
        <v>0</v>
      </c>
    </row>
    <row r="2" spans="1:13" x14ac:dyDescent="0.3">
      <c r="A2" s="2" t="s">
        <v>1</v>
      </c>
    </row>
    <row r="3" spans="1:13" x14ac:dyDescent="0.3">
      <c r="A3" s="2" t="s">
        <v>2</v>
      </c>
    </row>
    <row r="4" spans="1:13" ht="36" customHeight="1" x14ac:dyDescent="0.3">
      <c r="A4" s="3" t="s">
        <v>3</v>
      </c>
      <c r="B4" s="3" t="s">
        <v>4</v>
      </c>
      <c r="C4" s="3" t="s">
        <v>5</v>
      </c>
      <c r="D4" s="3" t="s">
        <v>6</v>
      </c>
      <c r="E4" s="3" t="s">
        <v>7</v>
      </c>
      <c r="F4" s="3" t="s">
        <v>8</v>
      </c>
      <c r="G4" s="3" t="s">
        <v>9</v>
      </c>
      <c r="H4" s="3" t="s">
        <v>10</v>
      </c>
      <c r="I4" s="3" t="s">
        <v>11</v>
      </c>
      <c r="J4" s="3" t="s">
        <v>12</v>
      </c>
      <c r="K4" s="3" t="s">
        <v>13</v>
      </c>
      <c r="L4" s="3" t="s">
        <v>14</v>
      </c>
      <c r="M4" s="3" t="s">
        <v>15</v>
      </c>
    </row>
    <row r="5" spans="1:13" x14ac:dyDescent="0.3">
      <c r="A5" s="4" t="s">
        <v>16</v>
      </c>
      <c r="B5" s="4">
        <v>13.23</v>
      </c>
      <c r="C5" s="4">
        <v>1.79</v>
      </c>
      <c r="D5" s="4">
        <v>14</v>
      </c>
      <c r="E5" s="4">
        <v>3</v>
      </c>
      <c r="F5" s="5" t="str">
        <f>IF(C5="","",INDEX(สูตร!$C$12:$C$17,COUNTIF(สูตร!$A$12:$A$17,"&lt;"&amp;C5)+1))</f>
        <v>GRADE_1</v>
      </c>
      <c r="G5" s="6">
        <f>IF(C5="","",INDEX(สูตร!$B$12:$B$17,COUNTIF(สูตร!$A$12:$A$17,"&lt;"&amp;C5)+1))</f>
        <v>1.04</v>
      </c>
      <c r="H5" s="7">
        <f t="shared" ref="H5:H12" si="0">IF(C5="","",(1-C5/100)*G5)</f>
        <v>1.0213840000000001</v>
      </c>
      <c r="I5" s="7">
        <f>IF(B5="","",IF(B5&lt;=สูตร!$B$5,1,IF(B5&lt;=สูตร!$B$7,(1-B5/100)/(1-สูตร!$B$5/100)-สูตร!$B$6*(B5-สูตร!$B$5),สูตร!$B$8)))</f>
        <v>0.97705714285714285</v>
      </c>
      <c r="J5" s="6">
        <f>IF(D5="","",INDEX(สูตร!$B$20:$B$26,MATCH(MIN(MAX(D5,12),18),สูตร!$A$20:$A$26,0)))</f>
        <v>1</v>
      </c>
      <c r="K5" s="8">
        <f>IF(OR(B5="",C5="",D5=""),"",สูตร!$B$4*H5*I5*J5)</f>
        <v>119.75406393600001</v>
      </c>
      <c r="L5" s="9">
        <f>IF(K5="","",สูตร!$B$9*K5)</f>
        <v>95.803251148800015</v>
      </c>
      <c r="M5" s="10">
        <f t="shared" ref="M5:M12" si="1">IF(OR(K5="",E5=""),"",K5*E5*60)</f>
        <v>21555.731508479999</v>
      </c>
    </row>
    <row r="6" spans="1:13" x14ac:dyDescent="0.3">
      <c r="A6" s="4"/>
      <c r="B6" s="4"/>
      <c r="C6" s="4"/>
      <c r="D6" s="4"/>
      <c r="E6" s="4"/>
      <c r="F6" s="5" t="str">
        <f>IF(C6="","",INDEX(สูตร!$C$12:$C$17,COUNTIF(สูตร!$A$12:$A$17,"&lt;"&amp;C6)+1))</f>
        <v/>
      </c>
      <c r="G6" s="6" t="str">
        <f>IF(C6="","",INDEX(สูตร!$B$12:$B$17,COUNTIF(สูตร!$A$12:$A$17,"&lt;"&amp;C6)+1))</f>
        <v/>
      </c>
      <c r="H6" s="7" t="str">
        <f t="shared" si="0"/>
        <v/>
      </c>
      <c r="I6" s="7" t="str">
        <f>IF(B6="","",IF(B6&lt;=สูตร!$B$5,1,IF(B6&lt;=สูตร!$B$7,(1-B6/100)/(1-สูตร!$B$5/100)-สูตร!$B$6*(B6-สูตร!$B$5),สูตร!$B$8)))</f>
        <v/>
      </c>
      <c r="J6" s="6" t="str">
        <f>IF(D6="","",INDEX(สูตร!$B$20:$B$26,MATCH(MIN(MAX(D6,12),18),สูตร!$A$20:$A$26,0)))</f>
        <v/>
      </c>
      <c r="K6" s="8" t="str">
        <f>IF(OR(B6="",C6="",D6=""),"",สูตร!$B$4*H6*I6*J6)</f>
        <v/>
      </c>
      <c r="L6" s="9" t="str">
        <f>IF(K6="","",สูตร!$B$9*K6)</f>
        <v/>
      </c>
      <c r="M6" s="10" t="str">
        <f t="shared" si="1"/>
        <v/>
      </c>
    </row>
    <row r="7" spans="1:13" x14ac:dyDescent="0.3">
      <c r="A7" s="4"/>
      <c r="B7" s="4"/>
      <c r="C7" s="4"/>
      <c r="D7" s="4"/>
      <c r="E7" s="4"/>
      <c r="F7" s="5" t="str">
        <f>IF(C7="","",INDEX(สูตร!$C$12:$C$17,COUNTIF(สูตร!$A$12:$A$17,"&lt;"&amp;C7)+1))</f>
        <v/>
      </c>
      <c r="G7" s="6" t="str">
        <f>IF(C7="","",INDEX(สูตร!$B$12:$B$17,COUNTIF(สูตร!$A$12:$A$17,"&lt;"&amp;C7)+1))</f>
        <v/>
      </c>
      <c r="H7" s="7" t="str">
        <f t="shared" si="0"/>
        <v/>
      </c>
      <c r="I7" s="7" t="str">
        <f>IF(B7="","",IF(B7&lt;=สูตร!$B$5,1,IF(B7&lt;=สูตร!$B$7,(1-B7/100)/(1-สูตร!$B$5/100)-สูตร!$B$6*(B7-สูตร!$B$5),สูตร!$B$8)))</f>
        <v/>
      </c>
      <c r="J7" s="6" t="str">
        <f>IF(D7="","",INDEX(สูตร!$B$20:$B$26,MATCH(MIN(MAX(D7,12),18),สูตร!$A$20:$A$26,0)))</f>
        <v/>
      </c>
      <c r="K7" s="8" t="str">
        <f>IF(OR(B7="",C7="",D7=""),"",สูตร!$B$4*H7*I7*J7)</f>
        <v/>
      </c>
      <c r="L7" s="9" t="str">
        <f>IF(K7="","",สูตร!$B$9*K7)</f>
        <v/>
      </c>
      <c r="M7" s="10" t="str">
        <f t="shared" si="1"/>
        <v/>
      </c>
    </row>
    <row r="8" spans="1:13" x14ac:dyDescent="0.3">
      <c r="A8" s="4"/>
      <c r="B8" s="4"/>
      <c r="C8" s="4"/>
      <c r="D8" s="4"/>
      <c r="E8" s="4"/>
      <c r="F8" s="5" t="str">
        <f>IF(C8="","",INDEX(สูตร!$C$12:$C$17,COUNTIF(สูตร!$A$12:$A$17,"&lt;"&amp;C8)+1))</f>
        <v/>
      </c>
      <c r="G8" s="6" t="str">
        <f>IF(C8="","",INDEX(สูตร!$B$12:$B$17,COUNTIF(สูตร!$A$12:$A$17,"&lt;"&amp;C8)+1))</f>
        <v/>
      </c>
      <c r="H8" s="7" t="str">
        <f t="shared" si="0"/>
        <v/>
      </c>
      <c r="I8" s="7" t="str">
        <f>IF(B8="","",IF(B8&lt;=สูตร!$B$5,1,IF(B8&lt;=สูตร!$B$7,(1-B8/100)/(1-สูตร!$B$5/100)-สูตร!$B$6*(B8-สูตร!$B$5),สูตร!$B$8)))</f>
        <v/>
      </c>
      <c r="J8" s="6" t="str">
        <f>IF(D8="","",INDEX(สูตร!$B$20:$B$26,MATCH(MIN(MAX(D8,12),18),สูตร!$A$20:$A$26,0)))</f>
        <v/>
      </c>
      <c r="K8" s="8" t="str">
        <f>IF(OR(B8="",C8="",D8=""),"",สูตร!$B$4*H8*I8*J8)</f>
        <v/>
      </c>
      <c r="L8" s="9" t="str">
        <f>IF(K8="","",สูตร!$B$9*K8)</f>
        <v/>
      </c>
      <c r="M8" s="10" t="str">
        <f t="shared" si="1"/>
        <v/>
      </c>
    </row>
    <row r="9" spans="1:13" x14ac:dyDescent="0.3">
      <c r="A9" s="4"/>
      <c r="B9" s="4"/>
      <c r="C9" s="4"/>
      <c r="D9" s="4"/>
      <c r="E9" s="4"/>
      <c r="F9" s="5" t="str">
        <f>IF(C9="","",INDEX(สูตร!$C$12:$C$17,COUNTIF(สูตร!$A$12:$A$17,"&lt;"&amp;C9)+1))</f>
        <v/>
      </c>
      <c r="G9" s="6" t="str">
        <f>IF(C9="","",INDEX(สูตร!$B$12:$B$17,COUNTIF(สูตร!$A$12:$A$17,"&lt;"&amp;C9)+1))</f>
        <v/>
      </c>
      <c r="H9" s="7" t="str">
        <f t="shared" si="0"/>
        <v/>
      </c>
      <c r="I9" s="7" t="str">
        <f>IF(B9="","",IF(B9&lt;=สูตร!$B$5,1,IF(B9&lt;=สูตร!$B$7,(1-B9/100)/(1-สูตร!$B$5/100)-สูตร!$B$6*(B9-สูตร!$B$5),สูตร!$B$8)))</f>
        <v/>
      </c>
      <c r="J9" s="6" t="str">
        <f>IF(D9="","",INDEX(สูตร!$B$20:$B$26,MATCH(MIN(MAX(D9,12),18),สูตร!$A$20:$A$26,0)))</f>
        <v/>
      </c>
      <c r="K9" s="8" t="str">
        <f>IF(OR(B9="",C9="",D9=""),"",สูตร!$B$4*H9*I9*J9)</f>
        <v/>
      </c>
      <c r="L9" s="9" t="str">
        <f>IF(K9="","",สูตร!$B$9*K9)</f>
        <v/>
      </c>
      <c r="M9" s="10" t="str">
        <f t="shared" si="1"/>
        <v/>
      </c>
    </row>
    <row r="10" spans="1:13" x14ac:dyDescent="0.3">
      <c r="A10" s="4"/>
      <c r="B10" s="4"/>
      <c r="C10" s="4"/>
      <c r="D10" s="4"/>
      <c r="E10" s="4"/>
      <c r="F10" s="5" t="str">
        <f>IF(C10="","",INDEX(สูตร!$C$12:$C$17,COUNTIF(สูตร!$A$12:$A$17,"&lt;"&amp;C10)+1))</f>
        <v/>
      </c>
      <c r="G10" s="6" t="str">
        <f>IF(C10="","",INDEX(สูตร!$B$12:$B$17,COUNTIF(สูตร!$A$12:$A$17,"&lt;"&amp;C10)+1))</f>
        <v/>
      </c>
      <c r="H10" s="7" t="str">
        <f t="shared" si="0"/>
        <v/>
      </c>
      <c r="I10" s="7" t="str">
        <f>IF(B10="","",IF(B10&lt;=สูตร!$B$5,1,IF(B10&lt;=สูตร!$B$7,(1-B10/100)/(1-สูตร!$B$5/100)-สูตร!$B$6*(B10-สูตร!$B$5),สูตร!$B$8)))</f>
        <v/>
      </c>
      <c r="J10" s="6" t="str">
        <f>IF(D10="","",INDEX(สูตร!$B$20:$B$26,MATCH(MIN(MAX(D10,12),18),สูตร!$A$20:$A$26,0)))</f>
        <v/>
      </c>
      <c r="K10" s="8" t="str">
        <f>IF(OR(B10="",C10="",D10=""),"",สูตร!$B$4*H10*I10*J10)</f>
        <v/>
      </c>
      <c r="L10" s="9" t="str">
        <f>IF(K10="","",สูตร!$B$9*K10)</f>
        <v/>
      </c>
      <c r="M10" s="10" t="str">
        <f t="shared" si="1"/>
        <v/>
      </c>
    </row>
    <row r="11" spans="1:13" x14ac:dyDescent="0.3">
      <c r="A11" s="4"/>
      <c r="B11" s="4"/>
      <c r="C11" s="4"/>
      <c r="D11" s="4"/>
      <c r="E11" s="4"/>
      <c r="F11" s="5" t="str">
        <f>IF(C11="","",INDEX(สูตร!$C$12:$C$17,COUNTIF(สูตร!$A$12:$A$17,"&lt;"&amp;C11)+1))</f>
        <v/>
      </c>
      <c r="G11" s="6" t="str">
        <f>IF(C11="","",INDEX(สูตร!$B$12:$B$17,COUNTIF(สูตร!$A$12:$A$17,"&lt;"&amp;C11)+1))</f>
        <v/>
      </c>
      <c r="H11" s="7" t="str">
        <f t="shared" si="0"/>
        <v/>
      </c>
      <c r="I11" s="7" t="str">
        <f>IF(B11="","",IF(B11&lt;=สูตร!$B$5,1,IF(B11&lt;=สูตร!$B$7,(1-B11/100)/(1-สูตร!$B$5/100)-สูตร!$B$6*(B11-สูตร!$B$5),สูตร!$B$8)))</f>
        <v/>
      </c>
      <c r="J11" s="6" t="str">
        <f>IF(D11="","",INDEX(สูตร!$B$20:$B$26,MATCH(MIN(MAX(D11,12),18),สูตร!$A$20:$A$26,0)))</f>
        <v/>
      </c>
      <c r="K11" s="8" t="str">
        <f>IF(OR(B11="",C11="",D11=""),"",สูตร!$B$4*H11*I11*J11)</f>
        <v/>
      </c>
      <c r="L11" s="9" t="str">
        <f>IF(K11="","",สูตร!$B$9*K11)</f>
        <v/>
      </c>
      <c r="M11" s="10" t="str">
        <f t="shared" si="1"/>
        <v/>
      </c>
    </row>
    <row r="12" spans="1:13" x14ac:dyDescent="0.3">
      <c r="A12" s="4"/>
      <c r="B12" s="4"/>
      <c r="C12" s="4"/>
      <c r="D12" s="4"/>
      <c r="E12" s="4"/>
      <c r="F12" s="5" t="str">
        <f>IF(C12="","",INDEX(สูตร!$C$12:$C$17,COUNTIF(สูตร!$A$12:$A$17,"&lt;"&amp;C12)+1))</f>
        <v/>
      </c>
      <c r="G12" s="6" t="str">
        <f>IF(C12="","",INDEX(สูตร!$B$12:$B$17,COUNTIF(สูตร!$A$12:$A$17,"&lt;"&amp;C12)+1))</f>
        <v/>
      </c>
      <c r="H12" s="7" t="str">
        <f t="shared" si="0"/>
        <v/>
      </c>
      <c r="I12" s="7" t="str">
        <f>IF(B12="","",IF(B12&lt;=สูตร!$B$5,1,IF(B12&lt;=สูตร!$B$7,(1-B12/100)/(1-สูตร!$B$5/100)-สูตร!$B$6*(B12-สูตร!$B$5),สูตร!$B$8)))</f>
        <v/>
      </c>
      <c r="J12" s="6" t="str">
        <f>IF(D12="","",INDEX(สูตร!$B$20:$B$26,MATCH(MIN(MAX(D12,12),18),สูตร!$A$20:$A$26,0)))</f>
        <v/>
      </c>
      <c r="K12" s="8" t="str">
        <f>IF(OR(B12="",C12="",D12=""),"",สูตร!$B$4*H12*I12*J12)</f>
        <v/>
      </c>
      <c r="L12" s="9" t="str">
        <f>IF(K12="","",สูตร!$B$9*K12)</f>
        <v/>
      </c>
      <c r="M12" s="10" t="str">
        <f t="shared" si="1"/>
        <v/>
      </c>
    </row>
    <row r="13" spans="1:13" x14ac:dyDescent="0.3">
      <c r="L13" s="11" t="s">
        <v>17</v>
      </c>
      <c r="M13" s="12">
        <f>SUM(M5:M12)</f>
        <v>21555.731508479999</v>
      </c>
    </row>
    <row r="15" spans="1:13" x14ac:dyDescent="0.3">
      <c r="A15" s="13" t="s">
        <v>18</v>
      </c>
    </row>
    <row r="16" spans="1:13" x14ac:dyDescent="0.3">
      <c r="A16" s="2" t="s">
        <v>19</v>
      </c>
    </row>
    <row r="17" spans="1:1" x14ac:dyDescent="0.3">
      <c r="A17" s="2" t="s">
        <v>20</v>
      </c>
    </row>
    <row r="18" spans="1:1" x14ac:dyDescent="0.3">
      <c r="A18" s="2" t="s">
        <v>21</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7"/>
  <sheetViews>
    <sheetView workbookViewId="0">
      <pane ySplit="4" topLeftCell="A5" activePane="bottomLeft" state="frozen"/>
      <selection pane="bottomLeft"/>
    </sheetView>
  </sheetViews>
  <sheetFormatPr defaultRowHeight="14.4" x14ac:dyDescent="0.3"/>
  <cols>
    <col min="1" max="1" width="8" customWidth="1"/>
    <col min="2" max="2" width="12" customWidth="1"/>
    <col min="3" max="3" width="16" customWidth="1"/>
    <col min="4" max="5" width="14" customWidth="1"/>
    <col min="6" max="6" width="12" customWidth="1"/>
    <col min="7" max="7" width="10" customWidth="1"/>
    <col min="8" max="8" width="11" customWidth="1"/>
    <col min="9" max="9" width="14" customWidth="1"/>
    <col min="10" max="10" width="24" customWidth="1"/>
    <col min="11" max="11" width="12" customWidth="1"/>
    <col min="12" max="12" width="14" customWidth="1"/>
  </cols>
  <sheetData>
    <row r="1" spans="1:12" ht="17.399999999999999" x14ac:dyDescent="0.3">
      <c r="A1" s="1" t="s">
        <v>22</v>
      </c>
    </row>
    <row r="2" spans="1:12" x14ac:dyDescent="0.3">
      <c r="A2" s="2" t="s">
        <v>23</v>
      </c>
    </row>
    <row r="3" spans="1:12" x14ac:dyDescent="0.3">
      <c r="A3" s="2" t="s">
        <v>24</v>
      </c>
    </row>
    <row r="4" spans="1:12" ht="36" customHeight="1" x14ac:dyDescent="0.3">
      <c r="A4" s="3" t="s">
        <v>25</v>
      </c>
      <c r="B4" s="3" t="s">
        <v>26</v>
      </c>
      <c r="C4" s="3" t="s">
        <v>27</v>
      </c>
      <c r="D4" s="3" t="s">
        <v>28</v>
      </c>
      <c r="E4" s="3" t="s">
        <v>3</v>
      </c>
      <c r="F4" s="3" t="s">
        <v>7</v>
      </c>
      <c r="G4" s="3" t="s">
        <v>29</v>
      </c>
      <c r="H4" s="3" t="s">
        <v>30</v>
      </c>
      <c r="I4" s="3" t="s">
        <v>31</v>
      </c>
      <c r="J4" s="3" t="s">
        <v>32</v>
      </c>
      <c r="K4" s="3" t="s">
        <v>33</v>
      </c>
      <c r="L4" s="3" t="s">
        <v>34</v>
      </c>
    </row>
    <row r="5" spans="1:12" x14ac:dyDescent="0.3">
      <c r="A5" s="4" t="s">
        <v>35</v>
      </c>
      <c r="B5" s="4" t="s">
        <v>36</v>
      </c>
      <c r="C5" s="4" t="s">
        <v>37</v>
      </c>
      <c r="D5" s="4" t="s">
        <v>38</v>
      </c>
      <c r="E5" s="4" t="s">
        <v>16</v>
      </c>
      <c r="F5" s="4">
        <v>3</v>
      </c>
      <c r="G5" s="14">
        <v>1.05</v>
      </c>
      <c r="H5" s="9">
        <f>IF(E5="","",IFERROR(INDEX(ประเมินล็อต!$K$5:$K$12,MATCH(E5,ประเมินล็อต!$A$5:$A$12,0)),"ไม่พบล็อต"))</f>
        <v>119.75406393600001</v>
      </c>
      <c r="I5" s="15">
        <f t="shared" ref="I5:I44" si="0">IF(OR(G5="",H5="",H5="ไม่พบล็อต"),"",ROUND(G5*H5,1))</f>
        <v>125.7</v>
      </c>
      <c r="J5" s="4" t="s">
        <v>39</v>
      </c>
      <c r="K5" s="4">
        <v>3</v>
      </c>
      <c r="L5" s="10">
        <f t="shared" ref="L5:L44" si="1">IF(OR(I5="",K5=""),"",I5*K5*60)</f>
        <v>22626</v>
      </c>
    </row>
    <row r="6" spans="1:12" x14ac:dyDescent="0.3">
      <c r="A6" s="4"/>
      <c r="B6" s="4"/>
      <c r="C6" s="4"/>
      <c r="D6" s="4"/>
      <c r="E6" s="4"/>
      <c r="F6" s="4"/>
      <c r="G6" s="14"/>
      <c r="H6" s="9" t="str">
        <f>IF(E6="","",IFERROR(INDEX(ประเมินล็อต!$K$5:$K$12,MATCH(E6,ประเมินล็อต!$A$5:$A$12,0)),"ไม่พบล็อต"))</f>
        <v/>
      </c>
      <c r="I6" s="15" t="str">
        <f t="shared" si="0"/>
        <v/>
      </c>
      <c r="J6" s="4"/>
      <c r="K6" s="4"/>
      <c r="L6" s="10" t="str">
        <f t="shared" si="1"/>
        <v/>
      </c>
    </row>
    <row r="7" spans="1:12" x14ac:dyDescent="0.3">
      <c r="A7" s="4"/>
      <c r="B7" s="4"/>
      <c r="C7" s="4"/>
      <c r="D7" s="4"/>
      <c r="E7" s="4"/>
      <c r="F7" s="4"/>
      <c r="G7" s="14"/>
      <c r="H7" s="9" t="str">
        <f>IF(E7="","",IFERROR(INDEX(ประเมินล็อต!$K$5:$K$12,MATCH(E7,ประเมินล็อต!$A$5:$A$12,0)),"ไม่พบล็อต"))</f>
        <v/>
      </c>
      <c r="I7" s="15" t="str">
        <f t="shared" si="0"/>
        <v/>
      </c>
      <c r="J7" s="4"/>
      <c r="K7" s="4"/>
      <c r="L7" s="10" t="str">
        <f t="shared" si="1"/>
        <v/>
      </c>
    </row>
    <row r="8" spans="1:12" x14ac:dyDescent="0.3">
      <c r="A8" s="4"/>
      <c r="B8" s="4"/>
      <c r="C8" s="4"/>
      <c r="D8" s="4"/>
      <c r="E8" s="4"/>
      <c r="F8" s="4"/>
      <c r="G8" s="14"/>
      <c r="H8" s="9" t="str">
        <f>IF(E8="","",IFERROR(INDEX(ประเมินล็อต!$K$5:$K$12,MATCH(E8,ประเมินล็อต!$A$5:$A$12,0)),"ไม่พบล็อต"))</f>
        <v/>
      </c>
      <c r="I8" s="15" t="str">
        <f t="shared" si="0"/>
        <v/>
      </c>
      <c r="J8" s="4"/>
      <c r="K8" s="4"/>
      <c r="L8" s="10" t="str">
        <f t="shared" si="1"/>
        <v/>
      </c>
    </row>
    <row r="9" spans="1:12" x14ac:dyDescent="0.3">
      <c r="A9" s="4"/>
      <c r="B9" s="4"/>
      <c r="C9" s="4"/>
      <c r="D9" s="4"/>
      <c r="E9" s="4"/>
      <c r="F9" s="4"/>
      <c r="G9" s="14"/>
      <c r="H9" s="9" t="str">
        <f>IF(E9="","",IFERROR(INDEX(ประเมินล็อต!$K$5:$K$12,MATCH(E9,ประเมินล็อต!$A$5:$A$12,0)),"ไม่พบล็อต"))</f>
        <v/>
      </c>
      <c r="I9" s="15" t="str">
        <f t="shared" si="0"/>
        <v/>
      </c>
      <c r="J9" s="4"/>
      <c r="K9" s="4"/>
      <c r="L9" s="10" t="str">
        <f t="shared" si="1"/>
        <v/>
      </c>
    </row>
    <row r="10" spans="1:12" x14ac:dyDescent="0.3">
      <c r="A10" s="4"/>
      <c r="B10" s="4"/>
      <c r="C10" s="4"/>
      <c r="D10" s="4"/>
      <c r="E10" s="4"/>
      <c r="F10" s="4"/>
      <c r="G10" s="14"/>
      <c r="H10" s="9" t="str">
        <f>IF(E10="","",IFERROR(INDEX(ประเมินล็อต!$K$5:$K$12,MATCH(E10,ประเมินล็อต!$A$5:$A$12,0)),"ไม่พบล็อต"))</f>
        <v/>
      </c>
      <c r="I10" s="15" t="str">
        <f t="shared" si="0"/>
        <v/>
      </c>
      <c r="J10" s="4"/>
      <c r="K10" s="4"/>
      <c r="L10" s="10" t="str">
        <f t="shared" si="1"/>
        <v/>
      </c>
    </row>
    <row r="11" spans="1:12" x14ac:dyDescent="0.3">
      <c r="A11" s="4"/>
      <c r="B11" s="4"/>
      <c r="C11" s="4"/>
      <c r="D11" s="4"/>
      <c r="E11" s="4"/>
      <c r="F11" s="4"/>
      <c r="G11" s="14"/>
      <c r="H11" s="9" t="str">
        <f>IF(E11="","",IFERROR(INDEX(ประเมินล็อต!$K$5:$K$12,MATCH(E11,ประเมินล็อต!$A$5:$A$12,0)),"ไม่พบล็อต"))</f>
        <v/>
      </c>
      <c r="I11" s="15" t="str">
        <f t="shared" si="0"/>
        <v/>
      </c>
      <c r="J11" s="4"/>
      <c r="K11" s="4"/>
      <c r="L11" s="10" t="str">
        <f t="shared" si="1"/>
        <v/>
      </c>
    </row>
    <row r="12" spans="1:12" x14ac:dyDescent="0.3">
      <c r="A12" s="4"/>
      <c r="B12" s="4"/>
      <c r="C12" s="4"/>
      <c r="D12" s="4"/>
      <c r="E12" s="4"/>
      <c r="F12" s="4"/>
      <c r="G12" s="14"/>
      <c r="H12" s="9" t="str">
        <f>IF(E12="","",IFERROR(INDEX(ประเมินล็อต!$K$5:$K$12,MATCH(E12,ประเมินล็อต!$A$5:$A$12,0)),"ไม่พบล็อต"))</f>
        <v/>
      </c>
      <c r="I12" s="15" t="str">
        <f t="shared" si="0"/>
        <v/>
      </c>
      <c r="J12" s="4"/>
      <c r="K12" s="4"/>
      <c r="L12" s="10" t="str">
        <f t="shared" si="1"/>
        <v/>
      </c>
    </row>
    <row r="13" spans="1:12" x14ac:dyDescent="0.3">
      <c r="A13" s="4"/>
      <c r="B13" s="4"/>
      <c r="C13" s="4"/>
      <c r="D13" s="4"/>
      <c r="E13" s="4"/>
      <c r="F13" s="4"/>
      <c r="G13" s="14"/>
      <c r="H13" s="9" t="str">
        <f>IF(E13="","",IFERROR(INDEX(ประเมินล็อต!$K$5:$K$12,MATCH(E13,ประเมินล็อต!$A$5:$A$12,0)),"ไม่พบล็อต"))</f>
        <v/>
      </c>
      <c r="I13" s="15" t="str">
        <f t="shared" si="0"/>
        <v/>
      </c>
      <c r="J13" s="4"/>
      <c r="K13" s="4"/>
      <c r="L13" s="10" t="str">
        <f t="shared" si="1"/>
        <v/>
      </c>
    </row>
    <row r="14" spans="1:12" x14ac:dyDescent="0.3">
      <c r="A14" s="4"/>
      <c r="B14" s="4"/>
      <c r="C14" s="4"/>
      <c r="D14" s="4"/>
      <c r="E14" s="4"/>
      <c r="F14" s="4"/>
      <c r="G14" s="14"/>
      <c r="H14" s="9" t="str">
        <f>IF(E14="","",IFERROR(INDEX(ประเมินล็อต!$K$5:$K$12,MATCH(E14,ประเมินล็อต!$A$5:$A$12,0)),"ไม่พบล็อต"))</f>
        <v/>
      </c>
      <c r="I14" s="15" t="str">
        <f t="shared" si="0"/>
        <v/>
      </c>
      <c r="J14" s="4"/>
      <c r="K14" s="4"/>
      <c r="L14" s="10" t="str">
        <f t="shared" si="1"/>
        <v/>
      </c>
    </row>
    <row r="15" spans="1:12" x14ac:dyDescent="0.3">
      <c r="A15" s="4"/>
      <c r="B15" s="4"/>
      <c r="C15" s="4"/>
      <c r="D15" s="4"/>
      <c r="E15" s="4"/>
      <c r="F15" s="4"/>
      <c r="G15" s="14"/>
      <c r="H15" s="9" t="str">
        <f>IF(E15="","",IFERROR(INDEX(ประเมินล็อต!$K$5:$K$12,MATCH(E15,ประเมินล็อต!$A$5:$A$12,0)),"ไม่พบล็อต"))</f>
        <v/>
      </c>
      <c r="I15" s="15" t="str">
        <f t="shared" si="0"/>
        <v/>
      </c>
      <c r="J15" s="4"/>
      <c r="K15" s="4"/>
      <c r="L15" s="10" t="str">
        <f t="shared" si="1"/>
        <v/>
      </c>
    </row>
    <row r="16" spans="1:12" x14ac:dyDescent="0.3">
      <c r="A16" s="4"/>
      <c r="B16" s="4"/>
      <c r="C16" s="4"/>
      <c r="D16" s="4"/>
      <c r="E16" s="4"/>
      <c r="F16" s="4"/>
      <c r="G16" s="14"/>
      <c r="H16" s="9" t="str">
        <f>IF(E16="","",IFERROR(INDEX(ประเมินล็อต!$K$5:$K$12,MATCH(E16,ประเมินล็อต!$A$5:$A$12,0)),"ไม่พบล็อต"))</f>
        <v/>
      </c>
      <c r="I16" s="15" t="str">
        <f t="shared" si="0"/>
        <v/>
      </c>
      <c r="J16" s="4"/>
      <c r="K16" s="4"/>
      <c r="L16" s="10" t="str">
        <f t="shared" si="1"/>
        <v/>
      </c>
    </row>
    <row r="17" spans="1:12" x14ac:dyDescent="0.3">
      <c r="A17" s="4"/>
      <c r="B17" s="4"/>
      <c r="C17" s="4"/>
      <c r="D17" s="4"/>
      <c r="E17" s="4"/>
      <c r="F17" s="4"/>
      <c r="G17" s="14"/>
      <c r="H17" s="9" t="str">
        <f>IF(E17="","",IFERROR(INDEX(ประเมินล็อต!$K$5:$K$12,MATCH(E17,ประเมินล็อต!$A$5:$A$12,0)),"ไม่พบล็อต"))</f>
        <v/>
      </c>
      <c r="I17" s="15" t="str">
        <f t="shared" si="0"/>
        <v/>
      </c>
      <c r="J17" s="4"/>
      <c r="K17" s="4"/>
      <c r="L17" s="10" t="str">
        <f t="shared" si="1"/>
        <v/>
      </c>
    </row>
    <row r="18" spans="1:12" x14ac:dyDescent="0.3">
      <c r="A18" s="4"/>
      <c r="B18" s="4"/>
      <c r="C18" s="4"/>
      <c r="D18" s="4"/>
      <c r="E18" s="4"/>
      <c r="F18" s="4"/>
      <c r="G18" s="14"/>
      <c r="H18" s="9" t="str">
        <f>IF(E18="","",IFERROR(INDEX(ประเมินล็อต!$K$5:$K$12,MATCH(E18,ประเมินล็อต!$A$5:$A$12,0)),"ไม่พบล็อต"))</f>
        <v/>
      </c>
      <c r="I18" s="15" t="str">
        <f t="shared" si="0"/>
        <v/>
      </c>
      <c r="J18" s="4"/>
      <c r="K18" s="4"/>
      <c r="L18" s="10" t="str">
        <f t="shared" si="1"/>
        <v/>
      </c>
    </row>
    <row r="19" spans="1:12" x14ac:dyDescent="0.3">
      <c r="A19" s="4"/>
      <c r="B19" s="4"/>
      <c r="C19" s="4"/>
      <c r="D19" s="4"/>
      <c r="E19" s="4"/>
      <c r="F19" s="4"/>
      <c r="G19" s="14"/>
      <c r="H19" s="9" t="str">
        <f>IF(E19="","",IFERROR(INDEX(ประเมินล็อต!$K$5:$K$12,MATCH(E19,ประเมินล็อต!$A$5:$A$12,0)),"ไม่พบล็อต"))</f>
        <v/>
      </c>
      <c r="I19" s="15" t="str">
        <f t="shared" si="0"/>
        <v/>
      </c>
      <c r="J19" s="4"/>
      <c r="K19" s="4"/>
      <c r="L19" s="10" t="str">
        <f t="shared" si="1"/>
        <v/>
      </c>
    </row>
    <row r="20" spans="1:12" x14ac:dyDescent="0.3">
      <c r="A20" s="4"/>
      <c r="B20" s="4"/>
      <c r="C20" s="4"/>
      <c r="D20" s="4"/>
      <c r="E20" s="4"/>
      <c r="F20" s="4"/>
      <c r="G20" s="14"/>
      <c r="H20" s="9" t="str">
        <f>IF(E20="","",IFERROR(INDEX(ประเมินล็อต!$K$5:$K$12,MATCH(E20,ประเมินล็อต!$A$5:$A$12,0)),"ไม่พบล็อต"))</f>
        <v/>
      </c>
      <c r="I20" s="15" t="str">
        <f t="shared" si="0"/>
        <v/>
      </c>
      <c r="J20" s="4"/>
      <c r="K20" s="4"/>
      <c r="L20" s="10" t="str">
        <f t="shared" si="1"/>
        <v/>
      </c>
    </row>
    <row r="21" spans="1:12" x14ac:dyDescent="0.3">
      <c r="A21" s="4"/>
      <c r="B21" s="4"/>
      <c r="C21" s="4"/>
      <c r="D21" s="4"/>
      <c r="E21" s="4"/>
      <c r="F21" s="4"/>
      <c r="G21" s="14"/>
      <c r="H21" s="9" t="str">
        <f>IF(E21="","",IFERROR(INDEX(ประเมินล็อต!$K$5:$K$12,MATCH(E21,ประเมินล็อต!$A$5:$A$12,0)),"ไม่พบล็อต"))</f>
        <v/>
      </c>
      <c r="I21" s="15" t="str">
        <f t="shared" si="0"/>
        <v/>
      </c>
      <c r="J21" s="4"/>
      <c r="K21" s="4"/>
      <c r="L21" s="10" t="str">
        <f t="shared" si="1"/>
        <v/>
      </c>
    </row>
    <row r="22" spans="1:12" x14ac:dyDescent="0.3">
      <c r="A22" s="4"/>
      <c r="B22" s="4"/>
      <c r="C22" s="4"/>
      <c r="D22" s="4"/>
      <c r="E22" s="4"/>
      <c r="F22" s="4"/>
      <c r="G22" s="14"/>
      <c r="H22" s="9" t="str">
        <f>IF(E22="","",IFERROR(INDEX(ประเมินล็อต!$K$5:$K$12,MATCH(E22,ประเมินล็อต!$A$5:$A$12,0)),"ไม่พบล็อต"))</f>
        <v/>
      </c>
      <c r="I22" s="15" t="str">
        <f t="shared" si="0"/>
        <v/>
      </c>
      <c r="J22" s="4"/>
      <c r="K22" s="4"/>
      <c r="L22" s="10" t="str">
        <f t="shared" si="1"/>
        <v/>
      </c>
    </row>
    <row r="23" spans="1:12" x14ac:dyDescent="0.3">
      <c r="A23" s="4"/>
      <c r="B23" s="4"/>
      <c r="C23" s="4"/>
      <c r="D23" s="4"/>
      <c r="E23" s="4"/>
      <c r="F23" s="4"/>
      <c r="G23" s="14"/>
      <c r="H23" s="9" t="str">
        <f>IF(E23="","",IFERROR(INDEX(ประเมินล็อต!$K$5:$K$12,MATCH(E23,ประเมินล็อต!$A$5:$A$12,0)),"ไม่พบล็อต"))</f>
        <v/>
      </c>
      <c r="I23" s="15" t="str">
        <f t="shared" si="0"/>
        <v/>
      </c>
      <c r="J23" s="4"/>
      <c r="K23" s="4"/>
      <c r="L23" s="10" t="str">
        <f t="shared" si="1"/>
        <v/>
      </c>
    </row>
    <row r="24" spans="1:12" x14ac:dyDescent="0.3">
      <c r="A24" s="4"/>
      <c r="B24" s="4"/>
      <c r="C24" s="4"/>
      <c r="D24" s="4"/>
      <c r="E24" s="4"/>
      <c r="F24" s="4"/>
      <c r="G24" s="14"/>
      <c r="H24" s="9" t="str">
        <f>IF(E24="","",IFERROR(INDEX(ประเมินล็อต!$K$5:$K$12,MATCH(E24,ประเมินล็อต!$A$5:$A$12,0)),"ไม่พบล็อต"))</f>
        <v/>
      </c>
      <c r="I24" s="15" t="str">
        <f t="shared" si="0"/>
        <v/>
      </c>
      <c r="J24" s="4"/>
      <c r="K24" s="4"/>
      <c r="L24" s="10" t="str">
        <f t="shared" si="1"/>
        <v/>
      </c>
    </row>
    <row r="25" spans="1:12" x14ac:dyDescent="0.3">
      <c r="A25" s="4"/>
      <c r="B25" s="4"/>
      <c r="C25" s="4"/>
      <c r="D25" s="4"/>
      <c r="E25" s="4"/>
      <c r="F25" s="4"/>
      <c r="G25" s="14"/>
      <c r="H25" s="9" t="str">
        <f>IF(E25="","",IFERROR(INDEX(ประเมินล็อต!$K$5:$K$12,MATCH(E25,ประเมินล็อต!$A$5:$A$12,0)),"ไม่พบล็อต"))</f>
        <v/>
      </c>
      <c r="I25" s="15" t="str">
        <f t="shared" si="0"/>
        <v/>
      </c>
      <c r="J25" s="4"/>
      <c r="K25" s="4"/>
      <c r="L25" s="10" t="str">
        <f t="shared" si="1"/>
        <v/>
      </c>
    </row>
    <row r="26" spans="1:12" x14ac:dyDescent="0.3">
      <c r="A26" s="4"/>
      <c r="B26" s="4"/>
      <c r="C26" s="4"/>
      <c r="D26" s="4"/>
      <c r="E26" s="4"/>
      <c r="F26" s="4"/>
      <c r="G26" s="14"/>
      <c r="H26" s="9" t="str">
        <f>IF(E26="","",IFERROR(INDEX(ประเมินล็อต!$K$5:$K$12,MATCH(E26,ประเมินล็อต!$A$5:$A$12,0)),"ไม่พบล็อต"))</f>
        <v/>
      </c>
      <c r="I26" s="15" t="str">
        <f t="shared" si="0"/>
        <v/>
      </c>
      <c r="J26" s="4"/>
      <c r="K26" s="4"/>
      <c r="L26" s="10" t="str">
        <f t="shared" si="1"/>
        <v/>
      </c>
    </row>
    <row r="27" spans="1:12" x14ac:dyDescent="0.3">
      <c r="A27" s="4"/>
      <c r="B27" s="4"/>
      <c r="C27" s="4"/>
      <c r="D27" s="4"/>
      <c r="E27" s="4"/>
      <c r="F27" s="4"/>
      <c r="G27" s="14"/>
      <c r="H27" s="9" t="str">
        <f>IF(E27="","",IFERROR(INDEX(ประเมินล็อต!$K$5:$K$12,MATCH(E27,ประเมินล็อต!$A$5:$A$12,0)),"ไม่พบล็อต"))</f>
        <v/>
      </c>
      <c r="I27" s="15" t="str">
        <f t="shared" si="0"/>
        <v/>
      </c>
      <c r="J27" s="4"/>
      <c r="K27" s="4"/>
      <c r="L27" s="10" t="str">
        <f t="shared" si="1"/>
        <v/>
      </c>
    </row>
    <row r="28" spans="1:12" x14ac:dyDescent="0.3">
      <c r="A28" s="4"/>
      <c r="B28" s="4"/>
      <c r="C28" s="4"/>
      <c r="D28" s="4"/>
      <c r="E28" s="4"/>
      <c r="F28" s="4"/>
      <c r="G28" s="14"/>
      <c r="H28" s="9" t="str">
        <f>IF(E28="","",IFERROR(INDEX(ประเมินล็อต!$K$5:$K$12,MATCH(E28,ประเมินล็อต!$A$5:$A$12,0)),"ไม่พบล็อต"))</f>
        <v/>
      </c>
      <c r="I28" s="15" t="str">
        <f t="shared" si="0"/>
        <v/>
      </c>
      <c r="J28" s="4"/>
      <c r="K28" s="4"/>
      <c r="L28" s="10" t="str">
        <f t="shared" si="1"/>
        <v/>
      </c>
    </row>
    <row r="29" spans="1:12" x14ac:dyDescent="0.3">
      <c r="A29" s="4"/>
      <c r="B29" s="4"/>
      <c r="C29" s="4"/>
      <c r="D29" s="4"/>
      <c r="E29" s="4"/>
      <c r="F29" s="4"/>
      <c r="G29" s="14"/>
      <c r="H29" s="9" t="str">
        <f>IF(E29="","",IFERROR(INDEX(ประเมินล็อต!$K$5:$K$12,MATCH(E29,ประเมินล็อต!$A$5:$A$12,0)),"ไม่พบล็อต"))</f>
        <v/>
      </c>
      <c r="I29" s="15" t="str">
        <f t="shared" si="0"/>
        <v/>
      </c>
      <c r="J29" s="4"/>
      <c r="K29" s="4"/>
      <c r="L29" s="10" t="str">
        <f t="shared" si="1"/>
        <v/>
      </c>
    </row>
    <row r="30" spans="1:12" x14ac:dyDescent="0.3">
      <c r="A30" s="4"/>
      <c r="B30" s="4"/>
      <c r="C30" s="4"/>
      <c r="D30" s="4"/>
      <c r="E30" s="4"/>
      <c r="F30" s="4"/>
      <c r="G30" s="14"/>
      <c r="H30" s="9" t="str">
        <f>IF(E30="","",IFERROR(INDEX(ประเมินล็อต!$K$5:$K$12,MATCH(E30,ประเมินล็อต!$A$5:$A$12,0)),"ไม่พบล็อต"))</f>
        <v/>
      </c>
      <c r="I30" s="15" t="str">
        <f t="shared" si="0"/>
        <v/>
      </c>
      <c r="J30" s="4"/>
      <c r="K30" s="4"/>
      <c r="L30" s="10" t="str">
        <f t="shared" si="1"/>
        <v/>
      </c>
    </row>
    <row r="31" spans="1:12" x14ac:dyDescent="0.3">
      <c r="A31" s="4"/>
      <c r="B31" s="4"/>
      <c r="C31" s="4"/>
      <c r="D31" s="4"/>
      <c r="E31" s="4"/>
      <c r="F31" s="4"/>
      <c r="G31" s="14"/>
      <c r="H31" s="9" t="str">
        <f>IF(E31="","",IFERROR(INDEX(ประเมินล็อต!$K$5:$K$12,MATCH(E31,ประเมินล็อต!$A$5:$A$12,0)),"ไม่พบล็อต"))</f>
        <v/>
      </c>
      <c r="I31" s="15" t="str">
        <f t="shared" si="0"/>
        <v/>
      </c>
      <c r="J31" s="4"/>
      <c r="K31" s="4"/>
      <c r="L31" s="10" t="str">
        <f t="shared" si="1"/>
        <v/>
      </c>
    </row>
    <row r="32" spans="1:12" x14ac:dyDescent="0.3">
      <c r="A32" s="4"/>
      <c r="B32" s="4"/>
      <c r="C32" s="4"/>
      <c r="D32" s="4"/>
      <c r="E32" s="4"/>
      <c r="F32" s="4"/>
      <c r="G32" s="14"/>
      <c r="H32" s="9" t="str">
        <f>IF(E32="","",IFERROR(INDEX(ประเมินล็อต!$K$5:$K$12,MATCH(E32,ประเมินล็อต!$A$5:$A$12,0)),"ไม่พบล็อต"))</f>
        <v/>
      </c>
      <c r="I32" s="15" t="str">
        <f t="shared" si="0"/>
        <v/>
      </c>
      <c r="J32" s="4"/>
      <c r="K32" s="4"/>
      <c r="L32" s="10" t="str">
        <f t="shared" si="1"/>
        <v/>
      </c>
    </row>
    <row r="33" spans="1:12" x14ac:dyDescent="0.3">
      <c r="A33" s="4"/>
      <c r="B33" s="4"/>
      <c r="C33" s="4"/>
      <c r="D33" s="4"/>
      <c r="E33" s="4"/>
      <c r="F33" s="4"/>
      <c r="G33" s="14"/>
      <c r="H33" s="9" t="str">
        <f>IF(E33="","",IFERROR(INDEX(ประเมินล็อต!$K$5:$K$12,MATCH(E33,ประเมินล็อต!$A$5:$A$12,0)),"ไม่พบล็อต"))</f>
        <v/>
      </c>
      <c r="I33" s="15" t="str">
        <f t="shared" si="0"/>
        <v/>
      </c>
      <c r="J33" s="4"/>
      <c r="K33" s="4"/>
      <c r="L33" s="10" t="str">
        <f t="shared" si="1"/>
        <v/>
      </c>
    </row>
    <row r="34" spans="1:12" x14ac:dyDescent="0.3">
      <c r="A34" s="4"/>
      <c r="B34" s="4"/>
      <c r="C34" s="4"/>
      <c r="D34" s="4"/>
      <c r="E34" s="4"/>
      <c r="F34" s="4"/>
      <c r="G34" s="14"/>
      <c r="H34" s="9" t="str">
        <f>IF(E34="","",IFERROR(INDEX(ประเมินล็อต!$K$5:$K$12,MATCH(E34,ประเมินล็อต!$A$5:$A$12,0)),"ไม่พบล็อต"))</f>
        <v/>
      </c>
      <c r="I34" s="15" t="str">
        <f t="shared" si="0"/>
        <v/>
      </c>
      <c r="J34" s="4"/>
      <c r="K34" s="4"/>
      <c r="L34" s="10" t="str">
        <f t="shared" si="1"/>
        <v/>
      </c>
    </row>
    <row r="35" spans="1:12" x14ac:dyDescent="0.3">
      <c r="A35" s="4"/>
      <c r="B35" s="4"/>
      <c r="C35" s="4"/>
      <c r="D35" s="4"/>
      <c r="E35" s="4"/>
      <c r="F35" s="4"/>
      <c r="G35" s="14"/>
      <c r="H35" s="9" t="str">
        <f>IF(E35="","",IFERROR(INDEX(ประเมินล็อต!$K$5:$K$12,MATCH(E35,ประเมินล็อต!$A$5:$A$12,0)),"ไม่พบล็อต"))</f>
        <v/>
      </c>
      <c r="I35" s="15" t="str">
        <f t="shared" si="0"/>
        <v/>
      </c>
      <c r="J35" s="4"/>
      <c r="K35" s="4"/>
      <c r="L35" s="10" t="str">
        <f t="shared" si="1"/>
        <v/>
      </c>
    </row>
    <row r="36" spans="1:12" x14ac:dyDescent="0.3">
      <c r="A36" s="4"/>
      <c r="B36" s="4"/>
      <c r="C36" s="4"/>
      <c r="D36" s="4"/>
      <c r="E36" s="4"/>
      <c r="F36" s="4"/>
      <c r="G36" s="14"/>
      <c r="H36" s="9" t="str">
        <f>IF(E36="","",IFERROR(INDEX(ประเมินล็อต!$K$5:$K$12,MATCH(E36,ประเมินล็อต!$A$5:$A$12,0)),"ไม่พบล็อต"))</f>
        <v/>
      </c>
      <c r="I36" s="15" t="str">
        <f t="shared" si="0"/>
        <v/>
      </c>
      <c r="J36" s="4"/>
      <c r="K36" s="4"/>
      <c r="L36" s="10" t="str">
        <f t="shared" si="1"/>
        <v/>
      </c>
    </row>
    <row r="37" spans="1:12" x14ac:dyDescent="0.3">
      <c r="A37" s="4"/>
      <c r="B37" s="4"/>
      <c r="C37" s="4"/>
      <c r="D37" s="4"/>
      <c r="E37" s="4"/>
      <c r="F37" s="4"/>
      <c r="G37" s="14"/>
      <c r="H37" s="9" t="str">
        <f>IF(E37="","",IFERROR(INDEX(ประเมินล็อต!$K$5:$K$12,MATCH(E37,ประเมินล็อต!$A$5:$A$12,0)),"ไม่พบล็อต"))</f>
        <v/>
      </c>
      <c r="I37" s="15" t="str">
        <f t="shared" si="0"/>
        <v/>
      </c>
      <c r="J37" s="4"/>
      <c r="K37" s="4"/>
      <c r="L37" s="10" t="str">
        <f t="shared" si="1"/>
        <v/>
      </c>
    </row>
    <row r="38" spans="1:12" x14ac:dyDescent="0.3">
      <c r="A38" s="4"/>
      <c r="B38" s="4"/>
      <c r="C38" s="4"/>
      <c r="D38" s="4"/>
      <c r="E38" s="4"/>
      <c r="F38" s="4"/>
      <c r="G38" s="14"/>
      <c r="H38" s="9" t="str">
        <f>IF(E38="","",IFERROR(INDEX(ประเมินล็อต!$K$5:$K$12,MATCH(E38,ประเมินล็อต!$A$5:$A$12,0)),"ไม่พบล็อต"))</f>
        <v/>
      </c>
      <c r="I38" s="15" t="str">
        <f t="shared" si="0"/>
        <v/>
      </c>
      <c r="J38" s="4"/>
      <c r="K38" s="4"/>
      <c r="L38" s="10" t="str">
        <f t="shared" si="1"/>
        <v/>
      </c>
    </row>
    <row r="39" spans="1:12" x14ac:dyDescent="0.3">
      <c r="A39" s="4"/>
      <c r="B39" s="4"/>
      <c r="C39" s="4"/>
      <c r="D39" s="4"/>
      <c r="E39" s="4"/>
      <c r="F39" s="4"/>
      <c r="G39" s="14"/>
      <c r="H39" s="9" t="str">
        <f>IF(E39="","",IFERROR(INDEX(ประเมินล็อต!$K$5:$K$12,MATCH(E39,ประเมินล็อต!$A$5:$A$12,0)),"ไม่พบล็อต"))</f>
        <v/>
      </c>
      <c r="I39" s="15" t="str">
        <f t="shared" si="0"/>
        <v/>
      </c>
      <c r="J39" s="4"/>
      <c r="K39" s="4"/>
      <c r="L39" s="10" t="str">
        <f t="shared" si="1"/>
        <v/>
      </c>
    </row>
    <row r="40" spans="1:12" x14ac:dyDescent="0.3">
      <c r="A40" s="4"/>
      <c r="B40" s="4"/>
      <c r="C40" s="4"/>
      <c r="D40" s="4"/>
      <c r="E40" s="4"/>
      <c r="F40" s="4"/>
      <c r="G40" s="14"/>
      <c r="H40" s="9" t="str">
        <f>IF(E40="","",IFERROR(INDEX(ประเมินล็อต!$K$5:$K$12,MATCH(E40,ประเมินล็อต!$A$5:$A$12,0)),"ไม่พบล็อต"))</f>
        <v/>
      </c>
      <c r="I40" s="15" t="str">
        <f t="shared" si="0"/>
        <v/>
      </c>
      <c r="J40" s="4"/>
      <c r="K40" s="4"/>
      <c r="L40" s="10" t="str">
        <f t="shared" si="1"/>
        <v/>
      </c>
    </row>
    <row r="41" spans="1:12" x14ac:dyDescent="0.3">
      <c r="A41" s="4"/>
      <c r="B41" s="4"/>
      <c r="C41" s="4"/>
      <c r="D41" s="4"/>
      <c r="E41" s="4"/>
      <c r="F41" s="4"/>
      <c r="G41" s="14"/>
      <c r="H41" s="9" t="str">
        <f>IF(E41="","",IFERROR(INDEX(ประเมินล็อต!$K$5:$K$12,MATCH(E41,ประเมินล็อต!$A$5:$A$12,0)),"ไม่พบล็อต"))</f>
        <v/>
      </c>
      <c r="I41" s="15" t="str">
        <f t="shared" si="0"/>
        <v/>
      </c>
      <c r="J41" s="4"/>
      <c r="K41" s="4"/>
      <c r="L41" s="10" t="str">
        <f t="shared" si="1"/>
        <v/>
      </c>
    </row>
    <row r="42" spans="1:12" x14ac:dyDescent="0.3">
      <c r="A42" s="4"/>
      <c r="B42" s="4"/>
      <c r="C42" s="4"/>
      <c r="D42" s="4"/>
      <c r="E42" s="4"/>
      <c r="F42" s="4"/>
      <c r="G42" s="14"/>
      <c r="H42" s="9" t="str">
        <f>IF(E42="","",IFERROR(INDEX(ประเมินล็อต!$K$5:$K$12,MATCH(E42,ประเมินล็อต!$A$5:$A$12,0)),"ไม่พบล็อต"))</f>
        <v/>
      </c>
      <c r="I42" s="15" t="str">
        <f t="shared" si="0"/>
        <v/>
      </c>
      <c r="J42" s="4"/>
      <c r="K42" s="4"/>
      <c r="L42" s="10" t="str">
        <f t="shared" si="1"/>
        <v/>
      </c>
    </row>
    <row r="43" spans="1:12" x14ac:dyDescent="0.3">
      <c r="A43" s="4"/>
      <c r="B43" s="4"/>
      <c r="C43" s="4"/>
      <c r="D43" s="4"/>
      <c r="E43" s="4"/>
      <c r="F43" s="4"/>
      <c r="G43" s="14"/>
      <c r="H43" s="9" t="str">
        <f>IF(E43="","",IFERROR(INDEX(ประเมินล็อต!$K$5:$K$12,MATCH(E43,ประเมินล็อต!$A$5:$A$12,0)),"ไม่พบล็อต"))</f>
        <v/>
      </c>
      <c r="I43" s="15" t="str">
        <f t="shared" si="0"/>
        <v/>
      </c>
      <c r="J43" s="4"/>
      <c r="K43" s="4"/>
      <c r="L43" s="10" t="str">
        <f t="shared" si="1"/>
        <v/>
      </c>
    </row>
    <row r="44" spans="1:12" x14ac:dyDescent="0.3">
      <c r="A44" s="4"/>
      <c r="B44" s="4"/>
      <c r="C44" s="4"/>
      <c r="D44" s="4"/>
      <c r="E44" s="4"/>
      <c r="F44" s="4"/>
      <c r="G44" s="14"/>
      <c r="H44" s="9" t="str">
        <f>IF(E44="","",IFERROR(INDEX(ประเมินล็อต!$K$5:$K$12,MATCH(E44,ประเมินล็อต!$A$5:$A$12,0)),"ไม่พบล็อต"))</f>
        <v/>
      </c>
      <c r="I44" s="15" t="str">
        <f t="shared" si="0"/>
        <v/>
      </c>
      <c r="J44" s="4"/>
      <c r="K44" s="4"/>
      <c r="L44" s="10" t="str">
        <f t="shared" si="1"/>
        <v/>
      </c>
    </row>
    <row r="46" spans="1:12" x14ac:dyDescent="0.3">
      <c r="K46" s="11" t="s">
        <v>17</v>
      </c>
      <c r="L46" s="12">
        <f>SUM(L5:L44)</f>
        <v>22626</v>
      </c>
    </row>
    <row r="47" spans="1:12" x14ac:dyDescent="0.3">
      <c r="K47" s="11" t="s">
        <v>40</v>
      </c>
      <c r="L47" s="16">
        <f>IFERROR(L46/ประเมินล็อต!M13,"")</f>
        <v>1.0496512257586321</v>
      </c>
    </row>
  </sheetData>
  <dataValidations count="2">
    <dataValidation type="list" allowBlank="1" sqref="D5 D6 D7 D8 D9 D10 D11 D12 D13 D14 D15 D16 D17 D18 D19 D20 D21 D22 D23 D24 D25 D26 D27 D28 D29 D30 D31 D32 D33 D34 D35 D36 D37 D38 D39 D40 D41 D42 D43 D44" xr:uid="{00000000-0002-0000-0100-000000000000}">
      <formula1>"COMMERCIAL,INSTANT,SPECIALTY"</formula1>
    </dataValidation>
    <dataValidation type="list" allowBlank="1" sqref="J5 J6 J7 J8 J9 J10 J11 J12 J13 J14 J15 J16 J17 J18 J19 J20 J21 J22 J23 J24 J25 J26 J27 J28 J29 J30 J31 J32 J33 J34 J35 J36 J37 J38 J39 J40 J41 J42 J43 J44" xr:uid="{00000000-0002-0000-0100-000002000000}">
      <formula1>"ขายได้ทั้งหมด,ขายได้บางส่วน,แพงเกินเพดานผู้ซื้อ,แพ้ข้อเสนอที่คุ้มกว่า,คุณภาพจริงไม่ผ่านสเปก"</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xr:uid="{00000000-0002-0000-0100-000001000000}">
          <x14:formula1>
            <xm:f>ประเมินล็อต!$A$5:$A$12</xm:f>
          </x14:formula1>
          <xm:sqref>E5 E6 E7 E8 E9 E10 E11 E12 E13 E14 E15 E16 E17 E18 E19 E20 E21 E22 E23 E24 E25 E26 E27 E28 E29 E30 E31 E32 E33 E34 E35 E36 E37 E38 E39 E40 E41 E42 E43 E44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6"/>
  <sheetViews>
    <sheetView workbookViewId="0"/>
  </sheetViews>
  <sheetFormatPr defaultRowHeight="14.4" x14ac:dyDescent="0.3"/>
  <cols>
    <col min="1" max="1" width="36" customWidth="1"/>
    <col min="2" max="2" width="14" customWidth="1"/>
    <col min="3" max="3" width="18" customWidth="1"/>
    <col min="4" max="4" width="72" customWidth="1"/>
  </cols>
  <sheetData>
    <row r="1" spans="1:4" ht="17.399999999999999" x14ac:dyDescent="0.3">
      <c r="A1" s="1" t="s">
        <v>41</v>
      </c>
    </row>
    <row r="2" spans="1:4" x14ac:dyDescent="0.3">
      <c r="A2" s="2" t="s">
        <v>42</v>
      </c>
    </row>
    <row r="4" spans="1:4" x14ac:dyDescent="0.3">
      <c r="A4" s="17" t="s">
        <v>43</v>
      </c>
      <c r="B4" s="18">
        <v>120</v>
      </c>
    </row>
    <row r="5" spans="1:4" x14ac:dyDescent="0.3">
      <c r="A5" s="17" t="s">
        <v>44</v>
      </c>
      <c r="B5" s="18">
        <v>12.5</v>
      </c>
    </row>
    <row r="6" spans="1:4" x14ac:dyDescent="0.3">
      <c r="A6" s="17" t="s">
        <v>45</v>
      </c>
      <c r="B6" s="18">
        <v>0.02</v>
      </c>
    </row>
    <row r="7" spans="1:4" x14ac:dyDescent="0.3">
      <c r="A7" s="17" t="s">
        <v>46</v>
      </c>
      <c r="B7" s="18">
        <v>15</v>
      </c>
    </row>
    <row r="8" spans="1:4" x14ac:dyDescent="0.3">
      <c r="A8" s="17" t="s">
        <v>47</v>
      </c>
      <c r="B8" s="18">
        <v>0.6</v>
      </c>
    </row>
    <row r="9" spans="1:4" x14ac:dyDescent="0.3">
      <c r="A9" s="17" t="s">
        <v>48</v>
      </c>
      <c r="B9" s="18">
        <v>0.8</v>
      </c>
    </row>
    <row r="11" spans="1:4" x14ac:dyDescent="0.3">
      <c r="A11" s="3" t="s">
        <v>49</v>
      </c>
      <c r="B11" s="3" t="s">
        <v>9</v>
      </c>
      <c r="C11" s="3" t="s">
        <v>8</v>
      </c>
    </row>
    <row r="12" spans="1:4" x14ac:dyDescent="0.3">
      <c r="A12" s="18">
        <v>1</v>
      </c>
      <c r="B12" s="18">
        <v>1.08</v>
      </c>
      <c r="C12" s="19" t="s">
        <v>50</v>
      </c>
      <c r="D12" s="2" t="s">
        <v>51</v>
      </c>
    </row>
    <row r="13" spans="1:4" x14ac:dyDescent="0.3">
      <c r="A13" s="18">
        <v>3</v>
      </c>
      <c r="B13" s="18">
        <v>1.04</v>
      </c>
      <c r="C13" s="19" t="s">
        <v>52</v>
      </c>
      <c r="D13" s="2" t="s">
        <v>53</v>
      </c>
    </row>
    <row r="14" spans="1:4" x14ac:dyDescent="0.3">
      <c r="A14" s="18">
        <v>5</v>
      </c>
      <c r="B14" s="18">
        <v>1</v>
      </c>
      <c r="C14" s="19" t="s">
        <v>54</v>
      </c>
      <c r="D14" s="2" t="s">
        <v>55</v>
      </c>
    </row>
    <row r="15" spans="1:4" x14ac:dyDescent="0.3">
      <c r="A15" s="18">
        <v>7</v>
      </c>
      <c r="B15" s="18">
        <v>0.96</v>
      </c>
      <c r="C15" s="19" t="s">
        <v>56</v>
      </c>
      <c r="D15" s="2" t="s">
        <v>57</v>
      </c>
    </row>
    <row r="16" spans="1:4" x14ac:dyDescent="0.3">
      <c r="A16" s="18">
        <v>15</v>
      </c>
      <c r="B16" s="18">
        <v>0.85</v>
      </c>
      <c r="C16" s="19" t="s">
        <v>58</v>
      </c>
      <c r="D16" s="2" t="s">
        <v>59</v>
      </c>
    </row>
    <row r="17" spans="1:4" x14ac:dyDescent="0.3">
      <c r="A17" s="18">
        <v>100</v>
      </c>
      <c r="B17" s="18">
        <v>0.6</v>
      </c>
      <c r="C17" s="19" t="s">
        <v>60</v>
      </c>
    </row>
    <row r="18" spans="1:4" x14ac:dyDescent="0.3">
      <c r="D18" s="2" t="s">
        <v>61</v>
      </c>
    </row>
    <row r="19" spans="1:4" x14ac:dyDescent="0.3">
      <c r="A19" s="3" t="s">
        <v>62</v>
      </c>
      <c r="B19" s="3" t="s">
        <v>63</v>
      </c>
    </row>
    <row r="20" spans="1:4" x14ac:dyDescent="0.3">
      <c r="A20" s="18">
        <v>12</v>
      </c>
      <c r="B20" s="18">
        <v>0.92</v>
      </c>
    </row>
    <row r="21" spans="1:4" x14ac:dyDescent="0.3">
      <c r="A21" s="18">
        <v>13</v>
      </c>
      <c r="B21" s="18">
        <v>0.97</v>
      </c>
    </row>
    <row r="22" spans="1:4" x14ac:dyDescent="0.3">
      <c r="A22" s="18">
        <v>14</v>
      </c>
      <c r="B22" s="18">
        <v>1</v>
      </c>
    </row>
    <row r="23" spans="1:4" x14ac:dyDescent="0.3">
      <c r="A23" s="18">
        <v>15</v>
      </c>
      <c r="B23" s="18">
        <v>1</v>
      </c>
    </row>
    <row r="24" spans="1:4" x14ac:dyDescent="0.3">
      <c r="A24" s="18">
        <v>16</v>
      </c>
      <c r="B24" s="18">
        <v>1.03</v>
      </c>
    </row>
    <row r="25" spans="1:4" x14ac:dyDescent="0.3">
      <c r="A25" s="18">
        <v>17</v>
      </c>
      <c r="B25" s="18">
        <v>1.03</v>
      </c>
    </row>
    <row r="26" spans="1:4" x14ac:dyDescent="0.3">
      <c r="A26" s="18">
        <v>18</v>
      </c>
      <c r="B26" s="18">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ประเมินล็อต</vt:lpstr>
      <vt:lpstr>วางแผนขาย</vt:lpstr>
      <vt:lpstr>สูตร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Thana Hongsuwan</cp:lastModifiedBy>
  <dcterms:created xsi:type="dcterms:W3CDTF">2026-10-21T05:40:09Z</dcterms:created>
  <dcterms:modified xsi:type="dcterms:W3CDTF">2026-10-21T05:40:21Z</dcterms:modified>
</cp:coreProperties>
</file>